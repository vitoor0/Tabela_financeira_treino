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eve\Downloads\"/>
    </mc:Choice>
  </mc:AlternateContent>
  <xr:revisionPtr revIDLastSave="0" documentId="13_ncr:1_{B1BE3D3D-386F-495B-BBE9-23FF322190D6}" xr6:coauthVersionLast="47" xr6:coauthVersionMax="47" xr10:uidLastSave="{00000000-0000-0000-0000-000000000000}"/>
  <bookViews>
    <workbookView xWindow="-108" yWindow="-108" windowWidth="23256" windowHeight="12456" xr2:uid="{9638B2B2-7D53-474D-AC34-B3438EA8E6F4}"/>
  </bookViews>
  <sheets>
    <sheet name="Planilha1" sheetId="1" r:id="rId1"/>
    <sheet name="Planilha2" sheetId="2" r:id="rId2"/>
  </sheets>
  <definedNames>
    <definedName name="aporte">Planilha1!$D$20</definedName>
    <definedName name="patrimonio">Planilha1!$D$23</definedName>
    <definedName name="qtd_anos">Planilha1!$D$21</definedName>
    <definedName name="rendimento_carteira">Planilha1!$D$15</definedName>
    <definedName name="salario">Planilha1!$D$14</definedName>
    <definedName name="taxa_mensal">Planilha1!$D$22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B19" i="2"/>
  <c r="B20" i="2"/>
  <c r="B21" i="2"/>
  <c r="B22" i="2"/>
  <c r="B23" i="2"/>
  <c r="B24" i="2"/>
  <c r="B13" i="2"/>
  <c r="B14" i="2"/>
  <c r="B15" i="2"/>
  <c r="B16" i="2"/>
  <c r="B17" i="2"/>
  <c r="B12" i="2"/>
  <c r="B6" i="2"/>
  <c r="B7" i="2"/>
  <c r="B8" i="2"/>
  <c r="B9" i="2"/>
  <c r="B10" i="2"/>
  <c r="B5" i="2"/>
  <c r="D35" i="1"/>
  <c r="D39" i="1" s="1"/>
  <c r="D16" i="1"/>
  <c r="D23" i="1"/>
  <c r="D24" i="1" s="1"/>
  <c r="C28" i="1"/>
  <c r="D28" i="1" s="1"/>
  <c r="C29" i="1"/>
  <c r="D29" i="1" s="1"/>
  <c r="C30" i="1"/>
  <c r="D30" i="1" s="1"/>
  <c r="C31" i="1"/>
  <c r="D31" i="1" s="1"/>
  <c r="C27" i="1"/>
  <c r="D27" i="1" s="1"/>
  <c r="D41" i="1" l="1"/>
  <c r="D43" i="1"/>
  <c r="D42" i="1"/>
  <c r="D38" i="1"/>
  <c r="D40" i="1"/>
  <c r="D44" i="1" s="1"/>
</calcChain>
</file>

<file path=xl/sharedStrings.xml><?xml version="1.0" encoding="utf-8"?>
<sst xmlns="http://schemas.openxmlformats.org/spreadsheetml/2006/main" count="70" uniqueCount="35">
  <si>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</si>
  <si>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</si>
  <si>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</si>
  <si>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</si>
  <si>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</si>
  <si>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</si>
  <si>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</si>
  <si>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</si>
  <si>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</si>
  <si>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</si>
  <si>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</si>
  <si>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</si>
  <si>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</si>
  <si>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Configurações</t>
  </si>
  <si>
    <t>Rendimento Carteira</t>
  </si>
  <si>
    <t>Salário</t>
  </si>
  <si>
    <t>Sugestão de Investimento</t>
  </si>
  <si>
    <t>Investimento Mensal</t>
  </si>
  <si>
    <t>Perfil</t>
  </si>
  <si>
    <t>Valor a ser investido por mês</t>
  </si>
  <si>
    <t>Agressivo</t>
  </si>
  <si>
    <t>Tipo de FII</t>
  </si>
  <si>
    <t>Percentual Sugerido</t>
  </si>
  <si>
    <t>Valor</t>
  </si>
  <si>
    <t>Papel</t>
  </si>
  <si>
    <t>Tijolo</t>
  </si>
  <si>
    <t>Híbridos</t>
  </si>
  <si>
    <t>FOFs</t>
  </si>
  <si>
    <t xml:space="preserve">Desenvolvimento </t>
  </si>
  <si>
    <t>Hotelarias</t>
  </si>
  <si>
    <t>TIPO DE FIIs</t>
  </si>
  <si>
    <t>%</t>
  </si>
  <si>
    <t>Conservador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</si>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</sst>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249977111117893"/>
        <bgColor indexed="64"/>
      </patternFill>
    </fill>
  </fills>
  <borders count="32">
    <border>
      <left/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9" tint="0.39994506668294322"/>
      </right>
      <top style="medium">
        <color indexed="64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medium">
        <color indexed="64"/>
      </top>
      <bottom/>
      <diagonal/>
    </border>
    <border>
      <left style="thin">
        <color theme="9" tint="0.39994506668294322"/>
      </left>
      <right style="medium">
        <color indexed="64"/>
      </right>
      <top style="medium">
        <color indexed="64"/>
      </top>
      <bottom/>
      <diagonal/>
    </border>
    <border>
      <left style="medium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theme="2"/>
      </right>
      <top/>
      <bottom style="medium">
        <color theme="2"/>
      </bottom>
      <diagonal/>
    </border>
    <border>
      <left style="medium">
        <color theme="2"/>
      </left>
      <right style="medium">
        <color indexed="64"/>
      </right>
      <top/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theme="2"/>
      </bottom>
      <diagonal/>
    </border>
    <border>
      <left style="medium">
        <color indexed="64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indexed="64"/>
      </bottom>
      <diagonal/>
    </border>
    <border>
      <left style="medium">
        <color theme="2"/>
      </left>
      <right style="medium">
        <color indexed="64"/>
      </right>
      <top style="medium">
        <color theme="2"/>
      </top>
      <bottom style="medium">
        <color indexed="64"/>
      </bottom>
      <diagonal/>
    </border>
    <border>
      <left style="medium">
        <color indexed="64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theme="2"/>
      </right>
      <top style="medium">
        <color indexed="64"/>
      </top>
      <bottom style="medium">
        <color theme="2"/>
      </bottom>
      <diagonal/>
    </border>
    <border>
      <left style="medium">
        <color theme="2"/>
      </left>
      <right style="medium">
        <color indexed="64"/>
      </right>
      <top style="medium">
        <color indexed="64"/>
      </top>
      <bottom style="medium">
        <color theme="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61">
    <xf numFmtId="0" fontId="0" fillId="0" borderId="0" xfId="0"/>
    <xf numFmtId="0" fontId="4" fillId="0" borderId="0" xfId="0" applyFont="1"/>
    <xf numFmtId="8" fontId="0" fillId="2" borderId="1" xfId="0" applyNumberFormat="1" applyFill="1" applyBorder="1" applyAlignment="1">
      <alignment horizontal="center"/>
    </xf>
    <xf numFmtId="8" fontId="0" fillId="2" borderId="4" xfId="0" applyNumberFormat="1" applyFill="1" applyBorder="1" applyAlignment="1">
      <alignment horizontal="center"/>
    </xf>
    <xf numFmtId="8" fontId="0" fillId="2" borderId="2" xfId="0" applyNumberFormat="1" applyFill="1" applyBorder="1" applyAlignment="1">
      <alignment horizontal="center"/>
    </xf>
    <xf numFmtId="8" fontId="0" fillId="2" borderId="7" xfId="0" applyNumberFormat="1" applyFill="1" applyBorder="1" applyAlignment="1">
      <alignment horizontal="center"/>
    </xf>
    <xf numFmtId="0" fontId="6" fillId="3" borderId="10" xfId="2" applyFont="1" applyFill="1" applyBorder="1" applyAlignment="1">
      <alignment horizontal="center" vertical="center"/>
    </xf>
    <xf numFmtId="8" fontId="0" fillId="2" borderId="11" xfId="0" applyNumberFormat="1" applyFill="1" applyBorder="1" applyAlignment="1">
      <alignment horizontal="center"/>
    </xf>
    <xf numFmtId="0" fontId="0" fillId="0" borderId="0" xfId="0" applyBorder="1"/>
    <xf numFmtId="0" fontId="5" fillId="3" borderId="8" xfId="2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left" vertical="center"/>
    </xf>
    <xf numFmtId="8" fontId="3" fillId="2" borderId="22" xfId="0" applyNumberFormat="1" applyFont="1" applyFill="1" applyBorder="1" applyAlignment="1">
      <alignment horizontal="center" vertical="center"/>
    </xf>
    <xf numFmtId="8" fontId="3" fillId="2" borderId="25" xfId="0" applyNumberFormat="1" applyFont="1" applyFill="1" applyBorder="1" applyAlignment="1">
      <alignment horizontal="center" vertical="center"/>
    </xf>
    <xf numFmtId="164" fontId="1" fillId="0" borderId="19" xfId="1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0" fontId="0" fillId="0" borderId="22" xfId="0" applyNumberFormat="1" applyFont="1" applyBorder="1" applyAlignment="1">
      <alignment horizontal="center" vertical="center"/>
    </xf>
    <xf numFmtId="0" fontId="5" fillId="3" borderId="13" xfId="2" applyFont="1" applyFill="1" applyBorder="1" applyAlignment="1">
      <alignment horizontal="left" vertical="center"/>
    </xf>
    <xf numFmtId="0" fontId="5" fillId="3" borderId="15" xfId="2" applyFont="1" applyFill="1" applyBorder="1" applyAlignment="1">
      <alignment horizontal="left" vertical="center"/>
    </xf>
    <xf numFmtId="0" fontId="5" fillId="3" borderId="16" xfId="2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indent="3"/>
    </xf>
    <xf numFmtId="0" fontId="7" fillId="0" borderId="18" xfId="0" applyFont="1" applyBorder="1" applyAlignment="1">
      <alignment horizontal="left" indent="3"/>
    </xf>
    <xf numFmtId="0" fontId="7" fillId="0" borderId="20" xfId="0" applyFont="1" applyBorder="1" applyAlignment="1">
      <alignment horizontal="left" indent="3"/>
    </xf>
    <xf numFmtId="0" fontId="7" fillId="0" borderId="21" xfId="0" applyFont="1" applyBorder="1" applyAlignment="1">
      <alignment horizontal="left" indent="3"/>
    </xf>
    <xf numFmtId="0" fontId="8" fillId="2" borderId="20" xfId="0" applyFont="1" applyFill="1" applyBorder="1" applyAlignment="1">
      <alignment horizontal="left" indent="3"/>
    </xf>
    <xf numFmtId="0" fontId="8" fillId="2" borderId="21" xfId="0" applyFont="1" applyFill="1" applyBorder="1" applyAlignment="1">
      <alignment horizontal="left" indent="3"/>
    </xf>
    <xf numFmtId="0" fontId="8" fillId="2" borderId="23" xfId="0" applyFont="1" applyFill="1" applyBorder="1" applyAlignment="1">
      <alignment horizontal="left" indent="3"/>
    </xf>
    <xf numFmtId="0" fontId="8" fillId="2" borderId="24" xfId="0" applyFont="1" applyFill="1" applyBorder="1" applyAlignment="1">
      <alignment horizontal="left" indent="3"/>
    </xf>
    <xf numFmtId="0" fontId="7" fillId="2" borderId="3" xfId="0" applyFont="1" applyFill="1" applyBorder="1" applyAlignment="1">
      <alignment horizontal="left" indent="3"/>
    </xf>
    <xf numFmtId="0" fontId="7" fillId="2" borderId="5" xfId="0" applyFont="1" applyFill="1" applyBorder="1" applyAlignment="1">
      <alignment horizontal="left" indent="3"/>
    </xf>
    <xf numFmtId="0" fontId="7" fillId="2" borderId="6" xfId="0" applyFont="1" applyFill="1" applyBorder="1" applyAlignment="1">
      <alignment horizontal="left" indent="3"/>
    </xf>
    <xf numFmtId="0" fontId="5" fillId="4" borderId="26" xfId="2" applyFont="1" applyFill="1" applyBorder="1" applyAlignment="1">
      <alignment horizontal="left" vertical="center"/>
    </xf>
    <xf numFmtId="0" fontId="5" fillId="4" borderId="27" xfId="2" applyFont="1" applyFill="1" applyBorder="1" applyAlignment="1">
      <alignment horizontal="left" vertical="center"/>
    </xf>
    <xf numFmtId="0" fontId="5" fillId="4" borderId="28" xfId="2" applyFont="1" applyFill="1" applyBorder="1" applyAlignment="1">
      <alignment vertical="center"/>
    </xf>
    <xf numFmtId="0" fontId="7" fillId="2" borderId="20" xfId="0" applyFont="1" applyFill="1" applyBorder="1" applyAlignment="1">
      <alignment horizontal="left" vertical="center" indent="3"/>
    </xf>
    <xf numFmtId="0" fontId="7" fillId="2" borderId="21" xfId="0" applyFont="1" applyFill="1" applyBorder="1" applyAlignment="1">
      <alignment horizontal="left" vertical="center" indent="3"/>
    </xf>
    <xf numFmtId="0" fontId="7" fillId="2" borderId="23" xfId="0" applyFont="1" applyFill="1" applyBorder="1" applyAlignment="1">
      <alignment horizontal="left" vertical="center" indent="3"/>
    </xf>
    <xf numFmtId="0" fontId="7" fillId="2" borderId="24" xfId="0" applyFont="1" applyFill="1" applyBorder="1" applyAlignment="1">
      <alignment horizontal="left" vertical="center" indent="3"/>
    </xf>
    <xf numFmtId="9" fontId="7" fillId="0" borderId="0" xfId="4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0" fontId="7" fillId="0" borderId="22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0" fontId="9" fillId="5" borderId="12" xfId="5" applyFont="1" applyBorder="1" applyAlignment="1">
      <alignment horizontal="left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9" fillId="5" borderId="30" xfId="5" applyFont="1" applyBorder="1" applyAlignment="1">
      <alignment horizontal="center" vertical="center"/>
    </xf>
    <xf numFmtId="0" fontId="9" fillId="5" borderId="31" xfId="5" applyFont="1" applyBorder="1" applyAlignment="1">
      <alignment horizontal="center" vertical="center"/>
    </xf>
    <xf numFmtId="164" fontId="8" fillId="2" borderId="12" xfId="1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9" fontId="7" fillId="2" borderId="21" xfId="4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/>
    </xf>
    <xf numFmtId="0" fontId="10" fillId="6" borderId="27" xfId="0" applyFont="1" applyFill="1" applyBorder="1"/>
    <xf numFmtId="0" fontId="10" fillId="6" borderId="28" xfId="0" applyFont="1" applyFill="1" applyBorder="1"/>
    <xf numFmtId="0" fontId="8" fillId="6" borderId="23" xfId="0" applyFont="1" applyFill="1" applyBorder="1"/>
    <xf numFmtId="0" fontId="8" fillId="6" borderId="24" xfId="0" applyFont="1" applyFill="1" applyBorder="1" applyAlignment="1">
      <alignment horizontal="center" vertical="center"/>
    </xf>
    <xf numFmtId="164" fontId="11" fillId="6" borderId="25" xfId="0" applyNumberFormat="1" applyFont="1" applyFill="1" applyBorder="1" applyAlignment="1">
      <alignment horizontal="center" vertical="center"/>
    </xf>
  </cellXfs>
  <cellStyles count="6">
    <cellStyle name="20% - Ênfase1" xfId="5" builtinId="30"/>
    <cellStyle name="Moeda" xfId="1" builtinId="4"/>
    <cellStyle name="Moeda 2" xfId="3" xr:uid="{1134F666-1567-415F-BFFF-AFC888B8F95F}"/>
    <cellStyle name="Normal" xfId="0" builtinId="0"/>
    <cellStyle name="Porcentagem" xfId="4" builtinId="5"/>
    <cellStyle name="Título" xfId="2" builtinId="15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Planilha1!$B$38:$B$43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 </c:v>
                </c:pt>
                <c:pt idx="5">
                  <c:v>Hotelarias</c:v>
                </c:pt>
              </c:strCache>
            </c:strRef>
          </c:cat>
          <c:val>
            <c:numRef>
              <c:f>Planilha1!$C$38:$C$43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8-402D-B829-48784B620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129540</xdr:colOff>
      <xdr:row>0</xdr:row>
      <xdr:rowOff>114300</xdr:rowOff>
    </xdr:from>
    <xdr:to>
      <xdr:col>4</xdr:col>
      <xdr:colOff>807720</xdr:colOff>
      <xdr:row>9</xdr:row>
      <xdr:rowOff>137160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3209CA-0C29-4D67-98B4-457AF7F875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29540" y="114300"/>
          <a:ext cx="7498080" cy="1668780"/>
        </a:xfrm>
        <a:prstGeom prst="rect">
          <a:avLst/>
        </a:prstGeom>
      </xdr:spPr>
    </xdr:pic>
    <xdr:clientData/>
  </xdr:twoCellAnchor>
  <xdr:twoCellAnchor>
    <xdr:from>
      <xdr:col>1</xdr:col>
      <xdr:colOff>7620</xdr:colOff>
      <xdr:row>45</xdr:row>
      <xdr:rowOff>3810</xdr:rowOff>
    </xdr:from>
    <xdr:to>
      <xdr:col>4</xdr:col>
      <xdr:colOff>0</xdr:colOff>
      <xdr:row>61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DBD804-6EB4-158C-3905-0056BF379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445B-07A1-417E-95BD-F1257F4155FD}">
  <dimension ref="A12:F73"/>
  <sheetViews>
    <sheetView tabSelected="1" topLeftCell="A38" workbookViewId="0">
      <selection activeCell="D34" sqref="D34"/>
    </sheetView>
  </sheetViews>
  <sheetFormatPr defaultColWidth="0" defaultRowHeight="14.4" x14ac:dyDescent="0.3"/>
  <cols>
    <col min="1" max="1" width="11.6640625" customWidth="1"/>
    <col min="2" max="2" width="45.33203125" customWidth="1"/>
    <col min="3" max="3" width="24" customWidth="1"/>
    <col min="4" max="4" width="18.44140625" customWidth="1"/>
    <col min="5" max="5" width="21.5546875" bestFit="1" customWidth="1"/>
    <col min="6" max="6" width="10.5546875" bestFit="1" customWidth="1"/>
    <col min="7" max="7" width="8.88671875" hidden="1" customWidth="1"/>
    <col min="8" max="16384" width="8.88671875" hidden="1"/>
  </cols>
  <sheetData>
    <row r="12" spans="2:4" ht="15" thickBot="1" x14ac:dyDescent="0.35"/>
    <row r="13" spans="2:4" ht="34.799999999999997" customHeight="1" thickBot="1" x14ac:dyDescent="0.35">
      <c r="B13" s="30" t="s">
        <v>13</v>
      </c>
      <c r="C13" s="31"/>
      <c r="D13" s="32"/>
    </row>
    <row r="14" spans="2:4" ht="16.2" thickBot="1" x14ac:dyDescent="0.35">
      <c r="B14" s="33" t="s">
        <v>15</v>
      </c>
      <c r="C14" s="34"/>
      <c r="D14" s="43">
        <v>4200</v>
      </c>
    </row>
    <row r="15" spans="2:4" ht="16.2" thickBot="1" x14ac:dyDescent="0.35">
      <c r="B15" s="33" t="s">
        <v>14</v>
      </c>
      <c r="C15" s="34"/>
      <c r="D15" s="44">
        <v>0.6</v>
      </c>
    </row>
    <row r="16" spans="2:4" s="8" customFormat="1" ht="16.2" thickBot="1" x14ac:dyDescent="0.35">
      <c r="B16" s="35" t="s">
        <v>16</v>
      </c>
      <c r="C16" s="36"/>
      <c r="D16" s="45">
        <f>salario*30%</f>
        <v>1260</v>
      </c>
    </row>
    <row r="18" spans="1:4" ht="15" thickBot="1" x14ac:dyDescent="0.35"/>
    <row r="19" spans="1:4" ht="42" customHeight="1" x14ac:dyDescent="0.3">
      <c r="B19" s="16" t="s">
        <v>17</v>
      </c>
      <c r="C19" s="17"/>
      <c r="D19" s="18"/>
    </row>
    <row r="20" spans="1:4" ht="16.2" thickBot="1" x14ac:dyDescent="0.35">
      <c r="B20" s="19" t="s">
        <v>0</v>
      </c>
      <c r="C20" s="20"/>
      <c r="D20" s="13">
        <v>1260</v>
      </c>
    </row>
    <row r="21" spans="1:4" ht="16.2" thickBot="1" x14ac:dyDescent="0.35">
      <c r="B21" s="21" t="s">
        <v>1</v>
      </c>
      <c r="C21" s="22"/>
      <c r="D21" s="14">
        <v>10</v>
      </c>
    </row>
    <row r="22" spans="1:4" ht="16.2" thickBot="1" x14ac:dyDescent="0.35">
      <c r="B22" s="21" t="s">
        <v>2</v>
      </c>
      <c r="C22" s="22"/>
      <c r="D22" s="15">
        <v>1.0789999999999999E-2</v>
      </c>
    </row>
    <row r="23" spans="1:4" ht="16.2" thickBot="1" x14ac:dyDescent="0.35">
      <c r="B23" s="23" t="s">
        <v>3</v>
      </c>
      <c r="C23" s="24"/>
      <c r="D23" s="11">
        <f>FV(taxa_mensal,qtd_anos*12,aporte*-1)</f>
        <v>306538.10778801696</v>
      </c>
    </row>
    <row r="24" spans="1:4" ht="16.2" thickBot="1" x14ac:dyDescent="0.35">
      <c r="B24" s="25" t="s">
        <v>4</v>
      </c>
      <c r="C24" s="26"/>
      <c r="D24" s="12">
        <f>patrimonio*rendimento_carteira</f>
        <v>183922.86467281016</v>
      </c>
    </row>
    <row r="25" spans="1:4" ht="15" thickBot="1" x14ac:dyDescent="0.35">
      <c r="C25" t="s">
        <v>5</v>
      </c>
    </row>
    <row r="26" spans="1:4" ht="31.8" customHeight="1" x14ac:dyDescent="0.3">
      <c r="B26" s="9" t="s">
        <v>11</v>
      </c>
      <c r="C26" s="10"/>
      <c r="D26" s="6" t="s">
        <v>12</v>
      </c>
    </row>
    <row r="27" spans="1:4" ht="16.2" thickBot="1" x14ac:dyDescent="0.35">
      <c r="A27" s="1">
        <v>2</v>
      </c>
      <c r="B27" s="27" t="s">
        <v>6</v>
      </c>
      <c r="C27" s="2">
        <f>FV($D$22,A27*12,$D$20*-1)</f>
        <v>34306.810395032975</v>
      </c>
      <c r="D27" s="3">
        <f>C27*rendimento_carteira</f>
        <v>20584.086237019783</v>
      </c>
    </row>
    <row r="28" spans="1:4" ht="16.2" thickBot="1" x14ac:dyDescent="0.35">
      <c r="A28" s="1">
        <v>5</v>
      </c>
      <c r="B28" s="28" t="s">
        <v>7</v>
      </c>
      <c r="C28" s="4">
        <f>FV($D$22,A28*12,$D$20*-1)</f>
        <v>105558.91163809443</v>
      </c>
      <c r="D28" s="3">
        <f>C28*rendimento_carteira</f>
        <v>63335.346982856659</v>
      </c>
    </row>
    <row r="29" spans="1:4" ht="16.2" thickBot="1" x14ac:dyDescent="0.35">
      <c r="A29" s="1">
        <v>10</v>
      </c>
      <c r="B29" s="28" t="s">
        <v>8</v>
      </c>
      <c r="C29" s="4">
        <f>FV($D$22,A29*12,$D$20*-1)</f>
        <v>306538.10778801696</v>
      </c>
      <c r="D29" s="3">
        <f>C29*rendimento_carteira</f>
        <v>183922.86467281016</v>
      </c>
    </row>
    <row r="30" spans="1:4" ht="16.2" thickBot="1" x14ac:dyDescent="0.35">
      <c r="A30" s="1">
        <v>20</v>
      </c>
      <c r="B30" s="28" t="s">
        <v>9</v>
      </c>
      <c r="C30" s="4">
        <f>FV($D$22,A30*12,$D$20*-1)</f>
        <v>1417749.9841223215</v>
      </c>
      <c r="D30" s="3">
        <f>C30*rendimento_carteira</f>
        <v>850649.99047339289</v>
      </c>
    </row>
    <row r="31" spans="1:4" ht="16.2" thickBot="1" x14ac:dyDescent="0.35">
      <c r="A31" s="1">
        <v>30</v>
      </c>
      <c r="B31" s="29" t="s">
        <v>10</v>
      </c>
      <c r="C31" s="5">
        <f>FV($D$22,A31*12,$D$20*-1)</f>
        <v>5445933.7653059401</v>
      </c>
      <c r="D31" s="7">
        <f>C31*rendimento_carteira</f>
        <v>3267560.2591835638</v>
      </c>
    </row>
    <row r="33" spans="2:4" ht="15" thickBot="1" x14ac:dyDescent="0.35"/>
    <row r="34" spans="2:4" ht="21.6" customHeight="1" thickBot="1" x14ac:dyDescent="0.35">
      <c r="B34" s="49" t="s">
        <v>18</v>
      </c>
      <c r="C34" s="50"/>
      <c r="D34" s="46" t="s">
        <v>20</v>
      </c>
    </row>
    <row r="35" spans="2:4" ht="16.2" thickBot="1" x14ac:dyDescent="0.35">
      <c r="B35" s="47" t="s">
        <v>19</v>
      </c>
      <c r="C35" s="48"/>
      <c r="D35" s="51">
        <f>aporte</f>
        <v>1260</v>
      </c>
    </row>
    <row r="36" spans="2:4" ht="15" thickBot="1" x14ac:dyDescent="0.35"/>
    <row r="37" spans="2:4" ht="18.600000000000001" customHeight="1" thickBot="1" x14ac:dyDescent="0.4">
      <c r="B37" s="55" t="s">
        <v>30</v>
      </c>
      <c r="C37" s="56" t="s">
        <v>22</v>
      </c>
      <c r="D37" s="57" t="s">
        <v>23</v>
      </c>
    </row>
    <row r="38" spans="2:4" ht="16.2" thickBot="1" x14ac:dyDescent="0.35">
      <c r="B38" s="52" t="s">
        <v>24</v>
      </c>
      <c r="C38" s="53">
        <f>VLOOKUP($D$34&amp;"-"&amp;B38,Planilha2!$B$4:$E$24,4,FALSE)</f>
        <v>0.5</v>
      </c>
      <c r="D38" s="54">
        <f>C38*$D$35</f>
        <v>630</v>
      </c>
    </row>
    <row r="39" spans="2:4" ht="16.2" thickBot="1" x14ac:dyDescent="0.35">
      <c r="B39" s="52" t="s">
        <v>25</v>
      </c>
      <c r="C39" s="53">
        <f>VLOOKUP($D$34&amp;"-"&amp;B39,Planilha2!$B$4:$E$24,4,FALSE)</f>
        <v>0.1</v>
      </c>
      <c r="D39" s="54">
        <f>C39*$D$35</f>
        <v>126</v>
      </c>
    </row>
    <row r="40" spans="2:4" ht="16.2" thickBot="1" x14ac:dyDescent="0.35">
      <c r="B40" s="52" t="s">
        <v>26</v>
      </c>
      <c r="C40" s="53">
        <f>VLOOKUP($D$34&amp;"-"&amp;B40,Planilha2!$B$4:$E$24,4,FALSE)</f>
        <v>0.05</v>
      </c>
      <c r="D40" s="54">
        <f>C40*$D$35</f>
        <v>63</v>
      </c>
    </row>
    <row r="41" spans="2:4" ht="16.2" thickBot="1" x14ac:dyDescent="0.35">
      <c r="B41" s="52" t="s">
        <v>27</v>
      </c>
      <c r="C41" s="53">
        <f>VLOOKUP($D$34&amp;"-"&amp;B41,Planilha2!$B$4:$E$24,4,FALSE)</f>
        <v>0.05</v>
      </c>
      <c r="D41" s="54">
        <f>C41*$D$35</f>
        <v>63</v>
      </c>
    </row>
    <row r="42" spans="2:4" ht="16.2" thickBot="1" x14ac:dyDescent="0.35">
      <c r="B42" s="52" t="s">
        <v>28</v>
      </c>
      <c r="C42" s="53">
        <f>VLOOKUP($D$34&amp;"-"&amp;B42,Planilha2!$B$4:$E$24,4,FALSE)</f>
        <v>0.2</v>
      </c>
      <c r="D42" s="54">
        <f>C42*$D$35</f>
        <v>252</v>
      </c>
    </row>
    <row r="43" spans="2:4" ht="16.2" thickBot="1" x14ac:dyDescent="0.35">
      <c r="B43" s="52" t="s">
        <v>29</v>
      </c>
      <c r="C43" s="53">
        <f>VLOOKUP($D$34&amp;"-"&amp;B43,Planilha2!$B$4:$E$24,4,FALSE)</f>
        <v>0.1</v>
      </c>
      <c r="D43" s="54">
        <f>C43*$D$35</f>
        <v>126</v>
      </c>
    </row>
    <row r="44" spans="2:4" ht="16.2" thickBot="1" x14ac:dyDescent="0.35">
      <c r="B44" s="58"/>
      <c r="C44" s="59"/>
      <c r="D44" s="60">
        <f>SUM(D38:D43)</f>
        <v>1260</v>
      </c>
    </row>
    <row r="47" spans="2:4" x14ac:dyDescent="0.3">
      <c r="D47" s="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</sheetData>
  <mergeCells count="13">
    <mergeCell ref="B34:C34"/>
    <mergeCell ref="B35:C35"/>
    <mergeCell ref="B26:C26"/>
    <mergeCell ref="B13:C13"/>
    <mergeCell ref="B14:C14"/>
    <mergeCell ref="B15:C15"/>
    <mergeCell ref="B16:C16"/>
    <mergeCell ref="B19:D19"/>
    <mergeCell ref="B20:C20"/>
    <mergeCell ref="B21:C21"/>
    <mergeCell ref="B22:C22"/>
    <mergeCell ref="B23:C23"/>
    <mergeCell ref="B24:C24"/>
  </mergeCells>
  <dataValidations count="1">
    <dataValidation type="list" allowBlank="1" showInputMessage="1" showErrorMessage="1" sqref="D34" xr:uid="{F2DB66ED-86CF-4F69-9145-5F7B5FF2E975}">
      <formula1>"Agressivo,Conservador,Moderado"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566D-7188-42A1-B2D5-C391F0012233}">
  <dimension ref="B4:E24"/>
  <sheetViews>
    <sheetView topLeftCell="A4" workbookViewId="0">
      <selection activeCell="E16" sqref="E16"/>
    </sheetView>
  </sheetViews>
  <sheetFormatPr defaultRowHeight="14.4" x14ac:dyDescent="0.3"/>
  <cols>
    <col min="2" max="2" width="26.33203125" bestFit="1" customWidth="1"/>
    <col min="3" max="3" width="11.21875" bestFit="1" customWidth="1"/>
    <col min="4" max="4" width="17" bestFit="1" customWidth="1"/>
    <col min="5" max="5" width="8.77734375" style="42" customWidth="1"/>
  </cols>
  <sheetData>
    <row r="4" spans="2:5" ht="18" x14ac:dyDescent="0.35">
      <c r="B4" s="39" t="s">
        <v>33</v>
      </c>
      <c r="C4" s="39" t="s">
        <v>18</v>
      </c>
      <c r="D4" s="39" t="s">
        <v>21</v>
      </c>
      <c r="E4" s="40" t="s">
        <v>31</v>
      </c>
    </row>
    <row r="5" spans="2:5" ht="15.6" x14ac:dyDescent="0.3">
      <c r="B5" t="str">
        <f>$C$5&amp;"-"&amp;D5</f>
        <v>Conservador-Papel</v>
      </c>
      <c r="C5" t="s">
        <v>32</v>
      </c>
      <c r="D5" s="38" t="s">
        <v>24</v>
      </c>
      <c r="E5" s="37">
        <v>0.3</v>
      </c>
    </row>
    <row r="6" spans="2:5" ht="15.6" x14ac:dyDescent="0.3">
      <c r="B6" t="str">
        <f>$C$5&amp;"-"&amp;D6</f>
        <v>Conservador-Tijolo</v>
      </c>
      <c r="C6" t="s">
        <v>32</v>
      </c>
      <c r="D6" s="38" t="s">
        <v>25</v>
      </c>
      <c r="E6" s="37">
        <v>0.5</v>
      </c>
    </row>
    <row r="7" spans="2:5" ht="15.6" x14ac:dyDescent="0.3">
      <c r="B7" t="str">
        <f>$C$5&amp;"-"&amp;D7</f>
        <v>Conservador-Híbridos</v>
      </c>
      <c r="C7" t="s">
        <v>32</v>
      </c>
      <c r="D7" s="38" t="s">
        <v>26</v>
      </c>
      <c r="E7" s="37">
        <v>0.1</v>
      </c>
    </row>
    <row r="8" spans="2:5" ht="15.6" x14ac:dyDescent="0.3">
      <c r="B8" t="str">
        <f>$C$5&amp;"-"&amp;D8</f>
        <v>Conservador-FOFs</v>
      </c>
      <c r="C8" t="s">
        <v>32</v>
      </c>
      <c r="D8" s="38" t="s">
        <v>27</v>
      </c>
      <c r="E8" s="37">
        <v>0.1</v>
      </c>
    </row>
    <row r="9" spans="2:5" ht="15.6" x14ac:dyDescent="0.3">
      <c r="B9" t="str">
        <f>$C$5&amp;"-"&amp;D9</f>
        <v xml:space="preserve">Conservador-Desenvolvimento </v>
      </c>
      <c r="C9" t="s">
        <v>32</v>
      </c>
      <c r="D9" s="38" t="s">
        <v>28</v>
      </c>
      <c r="E9" s="37">
        <v>0</v>
      </c>
    </row>
    <row r="10" spans="2:5" ht="15.6" x14ac:dyDescent="0.3">
      <c r="B10" t="str">
        <f>$C$5&amp;"-"&amp;D10</f>
        <v>Conservador-Hotelarias</v>
      </c>
      <c r="C10" t="s">
        <v>32</v>
      </c>
      <c r="D10" s="38" t="s">
        <v>29</v>
      </c>
      <c r="E10" s="37">
        <v>0</v>
      </c>
    </row>
    <row r="11" spans="2:5" ht="15.6" x14ac:dyDescent="0.3">
      <c r="D11" s="38"/>
      <c r="E11" s="37"/>
    </row>
    <row r="12" spans="2:5" ht="15.6" x14ac:dyDescent="0.3">
      <c r="B12" t="str">
        <f>$C$12&amp;"-"&amp;D12</f>
        <v>Moderado-Papel</v>
      </c>
      <c r="C12" t="s">
        <v>34</v>
      </c>
      <c r="D12" s="38" t="s">
        <v>24</v>
      </c>
      <c r="E12" s="41">
        <v>0.32</v>
      </c>
    </row>
    <row r="13" spans="2:5" ht="15.6" x14ac:dyDescent="0.3">
      <c r="B13" t="str">
        <f t="shared" ref="B13:B17" si="0">$C$12&amp;"-"&amp;D13</f>
        <v>Moderado-Tijolo</v>
      </c>
      <c r="C13" t="s">
        <v>34</v>
      </c>
      <c r="D13" s="38" t="s">
        <v>25</v>
      </c>
      <c r="E13" s="41">
        <v>0.35</v>
      </c>
    </row>
    <row r="14" spans="2:5" ht="15.6" x14ac:dyDescent="0.3">
      <c r="B14" t="str">
        <f t="shared" si="0"/>
        <v>Moderado-Híbridos</v>
      </c>
      <c r="C14" t="s">
        <v>34</v>
      </c>
      <c r="D14" s="38" t="s">
        <v>26</v>
      </c>
      <c r="E14" s="41">
        <v>0.08</v>
      </c>
    </row>
    <row r="15" spans="2:5" ht="15.6" x14ac:dyDescent="0.3">
      <c r="B15" t="str">
        <f t="shared" si="0"/>
        <v>Moderado-FOFs</v>
      </c>
      <c r="C15" t="s">
        <v>34</v>
      </c>
      <c r="D15" s="38" t="s">
        <v>27</v>
      </c>
      <c r="E15" s="41">
        <v>0.05</v>
      </c>
    </row>
    <row r="16" spans="2:5" ht="15.6" x14ac:dyDescent="0.3">
      <c r="B16" t="str">
        <f t="shared" si="0"/>
        <v xml:space="preserve">Moderado-Desenvolvimento </v>
      </c>
      <c r="C16" t="s">
        <v>34</v>
      </c>
      <c r="D16" s="38" t="s">
        <v>28</v>
      </c>
      <c r="E16" s="41">
        <v>0.1</v>
      </c>
    </row>
    <row r="17" spans="2:5" ht="15.6" x14ac:dyDescent="0.3">
      <c r="B17" t="str">
        <f t="shared" si="0"/>
        <v>Moderado-Hotelarias</v>
      </c>
      <c r="C17" t="s">
        <v>34</v>
      </c>
      <c r="D17" s="38" t="s">
        <v>29</v>
      </c>
      <c r="E17" s="41">
        <v>0.1</v>
      </c>
    </row>
    <row r="19" spans="2:5" ht="15.6" x14ac:dyDescent="0.3">
      <c r="B19" t="str">
        <f>$C$19&amp;"-"&amp;D19</f>
        <v>Agressivo-Papel</v>
      </c>
      <c r="C19" t="s">
        <v>20</v>
      </c>
      <c r="D19" s="38" t="s">
        <v>24</v>
      </c>
      <c r="E19" s="41">
        <v>0.5</v>
      </c>
    </row>
    <row r="20" spans="2:5" ht="15.6" x14ac:dyDescent="0.3">
      <c r="B20" t="str">
        <f t="shared" ref="B20:B24" si="1">$C$19&amp;"-"&amp;D20</f>
        <v>Agressivo-Tijolo</v>
      </c>
      <c r="C20" t="s">
        <v>20</v>
      </c>
      <c r="D20" s="38" t="s">
        <v>25</v>
      </c>
      <c r="E20" s="41">
        <v>0.1</v>
      </c>
    </row>
    <row r="21" spans="2:5" ht="15.6" x14ac:dyDescent="0.3">
      <c r="B21" t="str">
        <f t="shared" si="1"/>
        <v>Agressivo-Híbridos</v>
      </c>
      <c r="C21" t="s">
        <v>20</v>
      </c>
      <c r="D21" s="38" t="s">
        <v>26</v>
      </c>
      <c r="E21" s="41">
        <v>0.05</v>
      </c>
    </row>
    <row r="22" spans="2:5" ht="15.6" x14ac:dyDescent="0.3">
      <c r="B22" t="str">
        <f t="shared" si="1"/>
        <v>Agressivo-FOFs</v>
      </c>
      <c r="C22" t="s">
        <v>20</v>
      </c>
      <c r="D22" s="38" t="s">
        <v>27</v>
      </c>
      <c r="E22" s="41">
        <v>0.05</v>
      </c>
    </row>
    <row r="23" spans="2:5" ht="15.6" x14ac:dyDescent="0.3">
      <c r="B23" t="str">
        <f t="shared" si="1"/>
        <v xml:space="preserve">Agressivo-Desenvolvimento </v>
      </c>
      <c r="C23" t="s">
        <v>20</v>
      </c>
      <c r="D23" s="38" t="s">
        <v>28</v>
      </c>
      <c r="E23" s="41">
        <v>0.2</v>
      </c>
    </row>
    <row r="24" spans="2:5" ht="15.6" x14ac:dyDescent="0.3">
      <c r="B24" t="str">
        <f t="shared" si="1"/>
        <v>Agressivo-Hotelarias</v>
      </c>
      <c r="C24" t="s">
        <v>20</v>
      </c>
      <c r="D24" s="38" t="s">
        <v>29</v>
      </c>
      <c r="E24" s="4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Neves</dc:creator>
  <cp:lastModifiedBy>Vitor Neves</cp:lastModifiedBy>
  <dcterms:created xsi:type="dcterms:W3CDTF">2026-10-08T14:48:30Z</dcterms:created>
  <dcterms:modified xsi:type="dcterms:W3CDTF">2026-10-11T16:00:51Z</dcterms:modified>
</cp:coreProperties>
</file>